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5180" windowHeight="1146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19" i="1" l="1"/>
  <c r="B19" i="1"/>
  <c r="E19" i="1"/>
  <c r="D19" i="1"/>
  <c r="B21" i="1" l="1"/>
  <c r="B23" i="1"/>
  <c r="B25" i="1" l="1"/>
  <c r="F7" i="1" s="1"/>
</calcChain>
</file>

<file path=xl/sharedStrings.xml><?xml version="1.0" encoding="utf-8"?>
<sst xmlns="http://schemas.openxmlformats.org/spreadsheetml/2006/main" count="59" uniqueCount="28">
  <si>
    <t>TOTAL</t>
  </si>
  <si>
    <t xml:space="preserve"> </t>
  </si>
  <si>
    <t>TOTAL RECEIVED</t>
  </si>
  <si>
    <t>TOTAL PAID</t>
  </si>
  <si>
    <t>Other Income</t>
  </si>
  <si>
    <t>Event</t>
  </si>
  <si>
    <t>Received Fee Income</t>
  </si>
  <si>
    <t>Forum day expenses</t>
  </si>
  <si>
    <t>Other expenses</t>
  </si>
  <si>
    <t>Website Expenses</t>
  </si>
  <si>
    <t>SURPLUS (LOSS)</t>
  </si>
  <si>
    <t>Forum Hospitality and gifts (credit card)</t>
  </si>
  <si>
    <t>Forum Hospitality and gifts (cheque)</t>
  </si>
  <si>
    <t>Banking costs and income</t>
  </si>
  <si>
    <t>Website Advertisements</t>
  </si>
  <si>
    <t>2016/2017</t>
  </si>
  <si>
    <t>Opening balance as at 01/10/16</t>
  </si>
  <si>
    <t>Closing balance as at 30/09/17</t>
  </si>
  <si>
    <t>Education and sponsorship</t>
  </si>
  <si>
    <t>Protection review award</t>
  </si>
  <si>
    <t>Accruals not applied</t>
  </si>
  <si>
    <t>Fees owed and not yet received</t>
  </si>
  <si>
    <t>Expenses paid but not yet cashed</t>
  </si>
  <si>
    <t>2017/2018</t>
  </si>
  <si>
    <t>HCF Accounts for the period 1st October 2017 to 30th September 2018</t>
  </si>
  <si>
    <t>Opening balance as at 01/10/17</t>
  </si>
  <si>
    <t>Closing balance as at 30/09/18</t>
  </si>
  <si>
    <t>Forum day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</si>
</sst>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£&quot;#,##0;[Red]\-&quot;£&quot;#,##0"/>
    <numFmt numFmtId="8" formatCode="&quot;£&quot;#,##0.00;[Red]\-&quot;£&quot;#,##0.00"/>
    <numFmt numFmtId="164" formatCode="&quot;£&quot;#,##0.00"/>
  </numFmts>
  <fonts count="7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12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7" fontId="0" fillId="0" borderId="0" xfId="0" applyNumberFormat="1"/>
    <xf numFmtId="0" fontId="0" fillId="0" borderId="2" xfId="0" applyBorder="1"/>
    <xf numFmtId="6" fontId="0" fillId="0" borderId="0" xfId="0" applyNumberFormat="1"/>
    <xf numFmtId="0" fontId="3" fillId="0" borderId="0" xfId="0" applyFont="1"/>
    <xf numFmtId="0" fontId="4" fillId="0" borderId="5" xfId="0" applyFont="1" applyBorder="1"/>
    <xf numFmtId="0" fontId="3" fillId="0" borderId="5" xfId="0" applyFont="1" applyBorder="1"/>
    <xf numFmtId="0" fontId="5" fillId="0" borderId="5" xfId="0" applyFont="1" applyBorder="1"/>
    <xf numFmtId="8" fontId="3" fillId="0" borderId="5" xfId="0" applyNumberFormat="1" applyFont="1" applyBorder="1" applyAlignment="1">
      <alignment horizontal="left"/>
    </xf>
    <xf numFmtId="0" fontId="4" fillId="0" borderId="0" xfId="0" applyFont="1"/>
    <xf numFmtId="0" fontId="3" fillId="0" borderId="1" xfId="0" applyFont="1" applyBorder="1"/>
    <xf numFmtId="0" fontId="5" fillId="0" borderId="0" xfId="0" applyFont="1"/>
    <xf numFmtId="8" fontId="3" fillId="0" borderId="0" xfId="0" applyNumberFormat="1" applyFont="1"/>
    <xf numFmtId="164" fontId="3" fillId="0" borderId="0" xfId="0" applyNumberFormat="1" applyFont="1"/>
    <xf numFmtId="8" fontId="3" fillId="0" borderId="4" xfId="0" applyNumberFormat="1" applyFont="1" applyBorder="1"/>
    <xf numFmtId="8" fontId="3" fillId="0" borderId="3" xfId="0" applyNumberFormat="1" applyFont="1" applyBorder="1"/>
    <xf numFmtId="164" fontId="3" fillId="0" borderId="3" xfId="0" applyNumberFormat="1" applyFont="1" applyBorder="1"/>
    <xf numFmtId="8" fontId="3" fillId="0" borderId="1" xfId="0" applyNumberFormat="1" applyFont="1" applyBorder="1"/>
    <xf numFmtId="17" fontId="3" fillId="0" borderId="0" xfId="0" applyNumberFormat="1" applyFont="1" applyFill="1"/>
    <xf numFmtId="0" fontId="5" fillId="2" borderId="0" xfId="0" applyFont="1" applyFill="1"/>
    <xf numFmtId="0" fontId="3" fillId="2" borderId="0" xfId="0" applyFont="1" applyFill="1"/>
    <xf numFmtId="8" fontId="3" fillId="2" borderId="0" xfId="0" applyNumberFormat="1" applyFont="1" applyFill="1"/>
    <xf numFmtId="6" fontId="3" fillId="2" borderId="0" xfId="0" applyNumberFormat="1" applyFont="1" applyFill="1"/>
    <xf numFmtId="0" fontId="4" fillId="0" borderId="7" xfId="0" applyFont="1" applyBorder="1"/>
    <xf numFmtId="0" fontId="3" fillId="0" borderId="7" xfId="0" applyFont="1" applyBorder="1"/>
    <xf numFmtId="0" fontId="5" fillId="0" borderId="7" xfId="0" applyFont="1" applyBorder="1"/>
    <xf numFmtId="8" fontId="3" fillId="0" borderId="7" xfId="0" applyNumberFormat="1" applyFont="1" applyBorder="1" applyAlignment="1">
      <alignment horizontal="left"/>
    </xf>
    <xf numFmtId="8" fontId="3" fillId="0" borderId="6" xfId="0" applyNumberFormat="1" applyFont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0</xdr:row>
      <xdr:rowOff>28575</xdr:rowOff>
    </xdr:from>
    <xdr:to>
      <xdr:col>4</xdr:col>
      <xdr:colOff>0</xdr:colOff>
      <xdr:row>7</xdr:row>
      <xdr:rowOff>19050</xdr:rowOff>
    </xdr:to>
    <xdr:pic>
      <xdr:nvPicPr>
        <xdr:cNvPr id="1025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28575"/>
          <a:ext cx="217170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tabSelected="1" workbookViewId="0">
      <selection activeCell="E4" sqref="E4"/>
    </sheetView>
  </sheetViews>
  <sheetFormatPr defaultRowHeight="12.75" x14ac:dyDescent="0.2"/>
  <cols>
    <col min="1" max="1" width="47.7109375" customWidth="1"/>
    <col min="2" max="2" width="26" customWidth="1"/>
    <col min="3" max="3" width="17.7109375" customWidth="1"/>
    <col min="4" max="4" width="27.42578125" customWidth="1"/>
    <col min="5" max="5" width="23" customWidth="1"/>
    <col min="6" max="6" width="34.85546875" customWidth="1"/>
    <col min="7" max="7" width="35.7109375" customWidth="1"/>
    <col min="8" max="8" width="9.28515625" customWidth="1"/>
  </cols>
  <sheetData>
    <row r="1" spans="1:8" ht="15.75" x14ac:dyDescent="0.25">
      <c r="A1" s="5"/>
      <c r="B1" s="5"/>
      <c r="C1" s="5"/>
      <c r="D1" s="5"/>
      <c r="E1" s="5"/>
      <c r="F1" s="6" t="s">
        <v>23</v>
      </c>
      <c r="G1" s="24" t="s">
        <v>15</v>
      </c>
    </row>
    <row r="2" spans="1:8" ht="15" x14ac:dyDescent="0.2">
      <c r="A2" s="5"/>
      <c r="B2" s="5"/>
      <c r="C2" s="5"/>
      <c r="D2" s="5"/>
      <c r="E2" s="29" t="s">
        <v>1</v>
      </c>
      <c r="F2" s="7"/>
      <c r="G2" s="25"/>
    </row>
    <row r="3" spans="1:8" ht="15.75" x14ac:dyDescent="0.25">
      <c r="A3" s="5"/>
      <c r="B3" s="5"/>
      <c r="C3" s="5"/>
      <c r="D3" s="5"/>
      <c r="E3" s="30" t="s">
        <v>1</v>
      </c>
      <c r="F3" s="8" t="s">
        <v>25</v>
      </c>
      <c r="G3" s="26" t="s">
        <v>16</v>
      </c>
    </row>
    <row r="4" spans="1:8" ht="15" x14ac:dyDescent="0.2">
      <c r="A4" s="5"/>
      <c r="B4" s="5"/>
      <c r="C4" s="5"/>
      <c r="D4" s="5"/>
      <c r="E4" s="5"/>
      <c r="F4" s="9">
        <v>25862.68</v>
      </c>
      <c r="G4" s="27">
        <v>53889.69</v>
      </c>
    </row>
    <row r="5" spans="1:8" ht="15" x14ac:dyDescent="0.2">
      <c r="A5" s="5"/>
      <c r="B5" s="5"/>
      <c r="C5" s="5"/>
      <c r="D5" s="5"/>
      <c r="E5" s="5"/>
      <c r="F5" s="7"/>
      <c r="G5" s="25"/>
    </row>
    <row r="6" spans="1:8" ht="15.75" x14ac:dyDescent="0.25">
      <c r="A6" s="5"/>
      <c r="B6" s="5"/>
      <c r="C6" s="5"/>
      <c r="D6" s="5"/>
      <c r="E6" s="5"/>
      <c r="F6" s="8" t="s">
        <v>26</v>
      </c>
      <c r="G6" s="26" t="s">
        <v>17</v>
      </c>
    </row>
    <row r="7" spans="1:8" ht="15" x14ac:dyDescent="0.2">
      <c r="A7" s="5"/>
      <c r="B7" s="5"/>
      <c r="C7" s="5"/>
      <c r="D7" s="5"/>
      <c r="E7" s="5"/>
      <c r="F7" s="9">
        <f>SUM(F4+B25)</f>
        <v>13633.550000000007</v>
      </c>
      <c r="G7" s="28">
        <v>25862.68</v>
      </c>
    </row>
    <row r="8" spans="1:8" ht="15.75" x14ac:dyDescent="0.25">
      <c r="A8" s="10" t="s">
        <v>24</v>
      </c>
      <c r="B8" s="5"/>
      <c r="C8" s="5"/>
      <c r="D8" s="5"/>
      <c r="E8" s="5" t="s">
        <v>1</v>
      </c>
      <c r="F8" s="11"/>
      <c r="G8" s="11"/>
    </row>
    <row r="9" spans="1:8" ht="30" customHeight="1" x14ac:dyDescent="0.2">
      <c r="A9" s="5"/>
      <c r="B9" s="5"/>
      <c r="C9" s="5"/>
      <c r="D9" s="5"/>
      <c r="E9" s="5" t="s">
        <v>1</v>
      </c>
      <c r="F9" s="5" t="s">
        <v>1</v>
      </c>
      <c r="G9" s="5" t="s">
        <v>1</v>
      </c>
    </row>
    <row r="10" spans="1:8" ht="28.5" customHeight="1" x14ac:dyDescent="0.25">
      <c r="A10" s="12" t="s">
        <v>5</v>
      </c>
      <c r="B10" s="12" t="s">
        <v>6</v>
      </c>
      <c r="C10" s="12" t="s">
        <v>4</v>
      </c>
      <c r="D10" s="12" t="s">
        <v>7</v>
      </c>
      <c r="E10" s="12" t="s">
        <v>8</v>
      </c>
      <c r="F10" s="20" t="s">
        <v>20</v>
      </c>
      <c r="G10" s="21" t="s">
        <v>1</v>
      </c>
      <c r="H10" s="1" t="s">
        <v>1</v>
      </c>
    </row>
    <row r="11" spans="1:8" ht="15" customHeight="1" x14ac:dyDescent="0.2">
      <c r="A11" s="19" t="s">
        <v>27</v>
      </c>
      <c r="B11" s="13">
        <v>30725</v>
      </c>
      <c r="C11" s="13"/>
      <c r="D11" s="13" t="s">
        <v>1</v>
      </c>
      <c r="E11" s="13">
        <v>33129.43</v>
      </c>
      <c r="F11" s="21" t="s">
        <v>21</v>
      </c>
      <c r="G11" s="23">
        <v>14750</v>
      </c>
    </row>
    <row r="12" spans="1:8" ht="15" customHeight="1" x14ac:dyDescent="0.2">
      <c r="A12" s="19" t="s">
        <v>14</v>
      </c>
      <c r="B12" s="13">
        <v>1700</v>
      </c>
      <c r="C12" s="13"/>
      <c r="D12" s="13" t="s">
        <v>1</v>
      </c>
      <c r="E12" s="13"/>
      <c r="F12" s="21" t="s">
        <v>22</v>
      </c>
      <c r="G12" s="22">
        <v>5764.54</v>
      </c>
      <c r="H12" s="2" t="s">
        <v>1</v>
      </c>
    </row>
    <row r="13" spans="1:8" ht="15" x14ac:dyDescent="0.2">
      <c r="A13" s="19" t="s">
        <v>9</v>
      </c>
      <c r="B13" s="13" t="s">
        <v>1</v>
      </c>
      <c r="C13" s="13"/>
      <c r="D13" s="13" t="s">
        <v>1</v>
      </c>
      <c r="E13" s="13">
        <v>7156.75</v>
      </c>
    </row>
    <row r="14" spans="1:8" ht="15" customHeight="1" x14ac:dyDescent="0.2">
      <c r="A14" s="19" t="s">
        <v>11</v>
      </c>
      <c r="B14" s="13" t="s">
        <v>1</v>
      </c>
      <c r="C14" s="13"/>
      <c r="D14" s="13" t="s">
        <v>1</v>
      </c>
      <c r="E14" s="13">
        <v>78.09</v>
      </c>
      <c r="F14" s="5"/>
      <c r="G14" s="5"/>
    </row>
    <row r="15" spans="1:8" ht="15" customHeight="1" x14ac:dyDescent="0.2">
      <c r="A15" s="19" t="s">
        <v>12</v>
      </c>
      <c r="B15" s="13" t="s">
        <v>1</v>
      </c>
      <c r="C15" s="13"/>
      <c r="D15" s="13" t="s">
        <v>1</v>
      </c>
      <c r="E15" s="13">
        <v>32.99</v>
      </c>
      <c r="F15" s="5"/>
      <c r="G15" s="5"/>
    </row>
    <row r="16" spans="1:8" ht="15" customHeight="1" x14ac:dyDescent="0.2">
      <c r="A16" s="19" t="s">
        <v>13</v>
      </c>
      <c r="B16" s="13" t="s">
        <v>1</v>
      </c>
      <c r="C16" s="13">
        <v>17.13</v>
      </c>
      <c r="D16" s="13"/>
      <c r="E16" s="13">
        <v>114</v>
      </c>
      <c r="F16" s="5" t="s">
        <v>1</v>
      </c>
      <c r="G16" s="5"/>
    </row>
    <row r="17" spans="1:7" ht="15" customHeight="1" x14ac:dyDescent="0.2">
      <c r="A17" s="19" t="s">
        <v>19</v>
      </c>
      <c r="B17" s="13"/>
      <c r="C17" s="13"/>
      <c r="D17" s="13"/>
      <c r="E17" s="14">
        <v>3960</v>
      </c>
      <c r="F17" s="5"/>
      <c r="G17" s="5"/>
    </row>
    <row r="18" spans="1:7" ht="15" customHeight="1" x14ac:dyDescent="0.2">
      <c r="A18" s="5" t="s">
        <v>18</v>
      </c>
      <c r="B18" s="13" t="s">
        <v>1</v>
      </c>
      <c r="C18" s="13"/>
      <c r="D18" s="13"/>
      <c r="E18" s="14">
        <v>200</v>
      </c>
      <c r="F18" s="5"/>
      <c r="G18" s="5"/>
    </row>
    <row r="19" spans="1:7" ht="15.75" x14ac:dyDescent="0.25">
      <c r="A19" s="12" t="s">
        <v>0</v>
      </c>
      <c r="B19" s="15">
        <f>SUM(B11:B18)</f>
        <v>32425</v>
      </c>
      <c r="C19" s="15">
        <f>SUM(C11:C18)</f>
        <v>17.13</v>
      </c>
      <c r="D19" s="15">
        <f>SUM(D11:D18)</f>
        <v>0</v>
      </c>
      <c r="E19" s="15">
        <f>SUM(E11:E18)</f>
        <v>44671.259999999995</v>
      </c>
      <c r="F19" s="5"/>
      <c r="G19" s="5"/>
    </row>
    <row r="20" spans="1:7" ht="15" x14ac:dyDescent="0.2">
      <c r="A20" s="5"/>
      <c r="B20" s="5"/>
      <c r="C20" s="5"/>
      <c r="D20" s="5"/>
      <c r="E20" s="5"/>
      <c r="F20" s="5"/>
      <c r="G20" s="5"/>
    </row>
    <row r="21" spans="1:7" ht="15.75" x14ac:dyDescent="0.25">
      <c r="A21" s="12" t="s">
        <v>2</v>
      </c>
      <c r="B21" s="16">
        <f>SUM(B19+C19)</f>
        <v>32442.13</v>
      </c>
      <c r="C21" s="5"/>
      <c r="D21" s="5"/>
      <c r="E21" s="5"/>
      <c r="F21" s="5"/>
      <c r="G21" s="5"/>
    </row>
    <row r="22" spans="1:7" ht="15.75" x14ac:dyDescent="0.25">
      <c r="A22" s="12"/>
      <c r="B22" s="5"/>
      <c r="C22" s="5"/>
      <c r="D22" s="5"/>
      <c r="E22" s="5"/>
      <c r="F22" s="5" t="s">
        <v>1</v>
      </c>
      <c r="G22" s="5"/>
    </row>
    <row r="23" spans="1:7" ht="15.75" x14ac:dyDescent="0.25">
      <c r="A23" s="12" t="s">
        <v>3</v>
      </c>
      <c r="B23" s="17">
        <f>SUM(D19+E19)</f>
        <v>44671.259999999995</v>
      </c>
      <c r="C23" s="5"/>
      <c r="D23" s="5"/>
      <c r="E23" s="5"/>
      <c r="F23" s="5" t="s">
        <v>1</v>
      </c>
      <c r="G23" s="5"/>
    </row>
    <row r="24" spans="1:7" ht="15.75" x14ac:dyDescent="0.25">
      <c r="A24" s="12"/>
      <c r="B24" s="5"/>
      <c r="C24" s="5"/>
      <c r="D24" s="5"/>
      <c r="E24" s="5"/>
      <c r="F24" s="5" t="s">
        <v>1</v>
      </c>
      <c r="G24" s="5"/>
    </row>
    <row r="25" spans="1:7" ht="16.5" thickBot="1" x14ac:dyDescent="0.3">
      <c r="A25" s="12" t="s">
        <v>10</v>
      </c>
      <c r="B25" s="18">
        <f>SUM(B21-B23)</f>
        <v>-12229.129999999994</v>
      </c>
      <c r="C25" s="5"/>
      <c r="D25" s="5"/>
      <c r="E25" s="5"/>
    </row>
    <row r="26" spans="1:7" ht="13.5" thickTop="1" x14ac:dyDescent="0.2">
      <c r="B26" s="3"/>
    </row>
    <row r="29" spans="1:7" x14ac:dyDescent="0.2">
      <c r="A29" t="s">
        <v>1</v>
      </c>
    </row>
    <row r="30" spans="1:7" x14ac:dyDescent="0.2">
      <c r="A30" s="2" t="s">
        <v>1</v>
      </c>
    </row>
    <row r="31" spans="1:7" x14ac:dyDescent="0.2">
      <c r="A31" t="s">
        <v>1</v>
      </c>
    </row>
    <row r="32" spans="1:7" x14ac:dyDescent="0.2">
      <c r="A32" t="s">
        <v>1</v>
      </c>
    </row>
    <row r="34" spans="1:2" x14ac:dyDescent="0.2">
      <c r="A34" t="s">
        <v>1</v>
      </c>
    </row>
    <row r="35" spans="1:2" x14ac:dyDescent="0.2">
      <c r="A35" t="s">
        <v>1</v>
      </c>
      <c r="B35" s="4" t="s">
        <v>1</v>
      </c>
    </row>
    <row r="36" spans="1:2" x14ac:dyDescent="0.2">
      <c r="A36" t="s">
        <v>1</v>
      </c>
      <c r="B36" s="4" t="s">
        <v>1</v>
      </c>
    </row>
  </sheetData>
  <phoneticPr fontId="2" type="noConversion"/>
  <pageMargins left="0.75" right="0.75" top="1" bottom="1" header="0.5" footer="0.5"/>
  <pageSetup paperSize="9" scale="4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UnumProvident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Lewis</dc:creator>
  <cp:lastModifiedBy>Lewis, Stuart</cp:lastModifiedBy>
  <cp:lastPrinted>2017-11-08T10:59:36Z</cp:lastPrinted>
  <dcterms:created xsi:type="dcterms:W3CDTF">2009-08-18T10:59:02Z</dcterms:created>
  <dcterms:modified xsi:type="dcterms:W3CDTF">2018-11-20T11:02:36Z</dcterms:modified>
</cp:coreProperties>
</file>